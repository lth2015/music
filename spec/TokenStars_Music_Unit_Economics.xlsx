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c573cb6ca4f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测算" sheetId="1" r:id="R2166d3334fef43f8"/>
    <x:sheet xmlns:r="http://schemas.openxmlformats.org/officeDocument/2006/relationships" name="参数" sheetId="2" r:id="R7555603f55a448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—&quot;"/>
    <x:numFmt numFmtId="201" formatCode="0.0%;(0.0%);&quot;—&quot;"/>
    <x:numFmt numFmtId="202" formatCode="#,##0;(#,##0);&quot;—&quot;"/>
  </x:numFmts>
  <x:fonts count="10">
    <x:font>
      <x:sz val="11"/>
      <x:name val="Carlito"/>
    </x:font>
    <x:font>
      <x:sz val="10"/>
      <x:color rgb="FF111827"/>
      <x:name val="Noto Sans CJK SC"/>
    </x:font>
    <x:font>
      <x:b/>
      <x:sz val="15"/>
      <x:color rgb="FF111827"/>
      <x:name val="Noto Sans CJK SC"/>
    </x:font>
    <x:font>
      <x:b/>
      <x:sz val="10"/>
      <x:color rgb="FFFFFFFF"/>
      <x:name val="Noto Sans CJK SC"/>
    </x:font>
    <x:font>
      <x:sz val="10"/>
      <x:color rgb="FF0000CC"/>
      <x:name val="Noto Sans CJK SC"/>
    </x:font>
    <x:font>
      <x:b/>
      <x:sz val="10"/>
      <x:color rgb="FF111827"/>
      <x:name val="Noto Sans CJK SC"/>
    </x:font>
    <x:font>
      <x:sz val="10"/>
      <x:color rgb="FF188038"/>
      <x:name val="Noto Sans CJK SC"/>
    </x:font>
    <x:font>
      <x:i/>
      <x:sz val="10"/>
      <x:color rgb="FF111827"/>
      <x:name val="Noto Sans CJK SC"/>
    </x:font>
    <x:font>
      <x:b/>
      <x:i/>
      <x:sz val="10"/>
      <x:color rgb="FF111827"/>
      <x:name val="Noto Sans CJK SC"/>
    </x:font>
    <x:font>
      <x:b/>
      <x:sz val="10"/>
      <x:color rgb="FF188038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E"/>
      </x:patternFill>
    </x:fill>
    <x:fill>
      <x:patternFill patternType="solid">
        <x:fgColor rgb="FFFFF7DE"/>
      </x:patternFill>
    </x:fill>
  </x:fills>
  <x:borders count="3">
    <x:border/>
    <x:border>
      <x:bottom style="thin">
        <x:color rgb="FF889AAF"/>
      </x:bottom>
    </x:border>
    <x:border>
      <x:top style="thin">
        <x:color rgb="FFBAC5D2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2" fontId="9" fillId="0" borderId="2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A31515"/>
      </x:font>
      <x:fill>
        <x:patternFill patternType="solid">
          <x:bgColor rgb="FFFFE9E5"/>
        </x:patternFill>
      </x:fill>
    </x:dxf>
    <x:dxf>
      <x:font>
        <x:b/>
        <x:color rgb="FFA31515"/>
      </x:font>
      <x:fill>
        <x:patternFill patternType="solid">
          <x:bgColor rgb="FFFFE9E5"/>
        </x:patternFill>
      </x:fill>
    </x:dxf>
    <x:dxf>
      <x:font>
        <x:b/>
        <x:color rgb="FFA31515"/>
      </x:font>
      <x:fill>
        <x:patternFill patternType="solid">
          <x:bgColor rgb="FFFFE9E5"/>
        </x:patternFill>
      </x:fill>
    </x:dxf>
    <x:dxf>
      <x:font>
        <x:b/>
        <x:color rgb="FFA31515"/>
      </x:font>
      <x:fill>
        <x:patternFill patternType="solid">
          <x:bgColor rgb="FFFFE9E5"/>
        </x:patternFill>
      </x:fill>
    </x:dxf>
    <x:dxf>
      <x:font>
        <x:b/>
        <x:color rgb="FFA31515"/>
      </x:font>
      <x:fill>
        <x:patternFill patternType="solid">
          <x:bgColor rgb="FFFFE9E5"/>
        </x:patternFill>
      </x:fill>
    </x:dxf>
    <x:dxf>
      <x:font>
        <x:b/>
        <x:color rgb="FFA31515"/>
      </x:font>
      <x:fill>
        <x:patternFill patternType="solid">
          <x:bgColor rgb="FFFFE9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b6ec0d5a746d9" /><Relationship Type="http://schemas.openxmlformats.org/officeDocument/2006/relationships/theme" Target="/xl/theme/theme1.xml" Id="Rb6fd128ea5ef473c" /><Relationship Type="http://schemas.openxmlformats.org/officeDocument/2006/relationships/sharedStrings" Target="/xl/sharedStrings.xml" Id="R1bcb2fb0cb63441b" /><Relationship Type="http://schemas.openxmlformats.org/officeDocument/2006/relationships/worksheet" Target="/xl/worksheets/sheet1.xml" Id="R2166d3334fef43f8" /><Relationship Type="http://schemas.openxmlformats.org/officeDocument/2006/relationships/worksheet" Target="/xl/worksheets/sheet2.xml" Id="R7555603f55a448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2D4D"/>
  </x:sheetPr>
  <x:sheetViews>
    <x:sheetView showGridLines="0" workbookViewId="0"/>
  </x:sheetViews>
  <x:sheetFormatPr defaultRowHeight="15"/>
  <x:cols>
    <x:col min="1" max="1" width="3" hidden="0" customWidth="1"/>
    <x:col min="2" max="2" width="39" hidden="0" customWidth="1"/>
    <x:col min="3" max="3" width="18" hidden="0" customWidth="1"/>
    <x:col min="4" max="4" width="15" hidden="0" customWidth="1"/>
    <x:col min="5" max="5" width="3" hidden="0" customWidth="1"/>
    <x:col min="6" max="6" width="83" hidden="0" customWidth="1"/>
    <x:col min="7" max="7" width="3" hidden="0" customWidth="1"/>
  </x:cols>
  <x:sheetData>
    <x:row r="1" ht="24" customHeight="1">
      <x:c r="A1" s="1"/>
      <x:c r="B1" s="2"/>
      <x:c r="C1" s="2"/>
      <x:c r="D1" s="2"/>
      <x:c r="E1" s="2"/>
      <x:c r="F1" s="2"/>
      <x:c r="G1" s="1"/>
    </x:row>
    <x:row r="2" ht="24" customHeight="1">
      <x:c r="A2" s="1"/>
      <x:c r="B2" s="3" t="str">
        <x:v>TokenStars 音乐平台商业测算</x:v>
      </x:c>
      <x:c r="C2" s="2"/>
      <x:c r="D2" s="2"/>
      <x:c r="E2" s="2"/>
      <x:c r="F2" s="2" t="str">
        <x:v>2026年9月9日设计假设。没有实际客户数据或已签署供应商报价。</x:v>
      </x:c>
      <x:c r="G2" s="1"/>
    </x:row>
    <x:row r="3" ht="24" customHeight="1">
      <x:c r="A3" s="1"/>
      <x:c r="B3" s="4"/>
      <x:c r="C3" s="4"/>
      <x:c r="D3" s="4"/>
      <x:c r="E3" s="2"/>
      <x:c r="F3" s="2"/>
      <x:c r="G3" s="1"/>
    </x:row>
    <x:row r="4" ht="28" customHeight="1">
      <x:c r="A4" s="1"/>
      <x:c r="B4" s="6" t="str">
        <x:v>主要结果</x:v>
      </x:c>
      <x:c r="C4" s="6" t="str">
        <x:v>当前结果</x:v>
      </x:c>
      <x:c r="D4" s="6" t="str">
        <x:v>单位</x:v>
      </x:c>
      <x:c r="E4" s="2"/>
      <x:c r="F4" s="2"/>
      <x:c r="G4" s="1"/>
    </x:row>
    <x:row r="5" ht="24" customHeight="1">
      <x:c r="A5" s="1"/>
      <x:c r="B5" s="20" t="str">
        <x:v>平均订阅贡献率</x:v>
      </x:c>
      <x:c r="C5" s="21" t="n">
        <x:f>C30</x:f>
        <x:v>0.5658692365835222</x:v>
      </x:c>
      <x:c r="D5" s="20" t="str">
        <x:v>比例</x:v>
      </x:c>
      <x:c r="E5" s="2"/>
      <x:c r="F5" s="2" t="str">
        <x:v>贡献率在扣退款、支付、音乐、GPT、处理传输和增量客服后计算。</x:v>
      </x:c>
      <x:c r="G5" s="1"/>
    </x:row>
    <x:row r="6" ht="24" customHeight="1">
      <x:c r="A6" s="1"/>
      <x:c r="B6" s="20" t="str">
        <x:v>额度用满贡献率</x:v>
      </x:c>
      <x:c r="C6" s="21" t="n">
        <x:f>C33</x:f>
        <x:v>0.3275220458553791</x:v>
      </x:c>
      <x:c r="D6" s="20" t="str">
        <x:v>比例</x:v>
      </x:c>
      <x:c r="E6" s="2"/>
      <x:c r="F6" s="2" t="str">
        <x:v>满额口径假设每位订阅用户用完20次；不依赖额度闲置盈利。</x:v>
      </x:c>
      <x:c r="G6" s="1"/>
    </x:row>
    <x:row r="7" ht="24" customHeight="1">
      <x:c r="A7" s="1"/>
      <x:c r="B7" s="2" t="str">
        <x:v>稳定月经营结果</x:v>
      </x:c>
      <x:c r="C7" s="15" t="n">
        <x:f>C52</x:f>
        <x:v>-152828.88888888923</x:v>
      </x:c>
      <x:c r="D7" s="2" t="str">
        <x:v>日元</x:v>
      </x:c>
      <x:c r="E7" s="2"/>
      <x:c r="F7" s="2" t="str">
        <x:v>已扣月度最低承诺、OEM固定授权、人员、AWS、免费试用和获客预算。</x:v>
      </x:c>
      <x:c r="G7" s="1"/>
    </x:row>
    <x:row r="8" ht="24" customHeight="1">
      <x:c r="A8" s="1"/>
      <x:c r="B8" s="2" t="str">
        <x:v>保本付费订阅人数</x:v>
      </x:c>
      <x:c r="C8" s="15" t="n">
        <x:f>C54</x:f>
        <x:v>1154</x:v>
      </x:c>
      <x:c r="D8" s="2" t="str">
        <x:v>人</x:v>
      </x:c>
      <x:c r="E8" s="2"/>
      <x:c r="F8" s="2" t="str">
        <x:v>只包含订阅模式。结果是保本门槛，不是可达到的客户预测。</x:v>
      </x:c>
      <x:c r="G8" s="1"/>
    </x:row>
    <x:row r="9" ht="24" customHeight="1">
      <x:c r="A9" s="1"/>
      <x:c r="B9" s="2" t="str">
        <x:v>获客成本回本月数</x:v>
      </x:c>
      <x:c r="C9" s="13" t="n">
        <x:f>IF(C29&gt;0,'参数'!C32/C29,"不可回本")</x:f>
        <x:v>2.5045248415470622</x:v>
      </x:c>
      <x:c r="D9" s="2" t="str">
        <x:v>月</x:v>
      </x:c>
      <x:c r="E9" s="2"/>
      <x:c r="F9" s="2" t="str">
        <x:v>简化单位贡献回本，不等于LTV；未成熟的续费样本不能支持长期价值结论。</x:v>
      </x:c>
      <x:c r="G9" s="1"/>
    </x:row>
    <x:row r="10" ht="24" customHeight="1">
      <x:c r="A10" s="1"/>
      <x:c r="B10" s="2"/>
      <x:c r="C10" s="2"/>
      <x:c r="D10" s="2"/>
      <x:c r="E10" s="2"/>
      <x:c r="F10" s="2"/>
      <x:c r="G10" s="1"/>
    </x:row>
    <x:row r="11" ht="24" customHeight="1">
      <x:c r="A11" s="1"/>
      <x:c r="B11" s="2"/>
      <x:c r="C11" s="2"/>
      <x:c r="D11" s="2"/>
      <x:c r="E11" s="2"/>
      <x:c r="F11" s="2"/>
      <x:c r="G11" s="1"/>
    </x:row>
    <x:row r="12" ht="28" customHeight="1">
      <x:c r="A12" s="1"/>
      <x:c r="B12" s="6" t="str">
        <x:v>单位生成成本</x:v>
      </x:c>
      <x:c r="C12" s="6"/>
      <x:c r="D12" s="6"/>
      <x:c r="E12" s="2"/>
      <x:c r="F12" s="2"/>
      <x:c r="G12" s="1"/>
    </x:row>
    <x:row r="13" ht="24" customHeight="1">
      <x:c r="A13" s="1"/>
      <x:c r="B13" s="2" t="str">
        <x:v>每份成功音源的音乐成本</x:v>
      </x:c>
      <x:c r="C13" s="17" t="n">
        <x:f>'参数'!C14*(1+(1-'参数'!C15)/'参数'!C15*'参数'!C16)</x:f>
        <x:v>50</x:v>
      </x:c>
      <x:c r="D13" s="2" t="str">
        <x:v>日元</x:v>
      </x:c>
      <x:c r="E13" s="2"/>
      <x:c r="F13" s="2" t="str">
        <x:v>失败请求是否收费直接影响此项；美学上的重新生成仍占用套餐次数。</x:v>
      </x:c>
      <x:c r="G13" s="1"/>
    </x:row>
    <x:row r="14" ht="24" customHeight="1">
      <x:c r="A14" s="1"/>
      <x:c r="B14" s="2" t="str">
        <x:v>每份成功音源的 GPT 成本</x:v>
      </x:c>
      <x:c r="C14" s="17" t="n">
        <x:f>'参数'!C17/'参数'!C15</x:f>
        <x:v>0.5555555555555556</x:v>
      </x:c>
      <x:c r="D14" s="2" t="str">
        <x:v>日元</x:v>
      </x:c>
      <x:c r="E14" s="2"/>
      <x:c r="F14" s="2"/>
      <x:c r="G14" s="1"/>
    </x:row>
    <x:row r="15" ht="24" customHeight="1">
      <x:c r="A15" s="1"/>
      <x:c r="B15" s="2" t="str">
        <x:v>每份音源处理与传输</x:v>
      </x:c>
      <x:c r="C15" s="17" t="n">
        <x:f>'参数'!C18</x:f>
        <x:v>2</x:v>
      </x:c>
      <x:c r="D15" s="2" t="str">
        <x:v>日元</x:v>
      </x:c>
      <x:c r="E15" s="2"/>
      <x:c r="F15" s="2"/>
      <x:c r="G15" s="1"/>
    </x:row>
    <x:row r="16" ht="24" customHeight="1">
      <x:c r="A16" s="1"/>
      <x:c r="B16" s="24" t="str">
        <x:v>每份成功音源总增量成本</x:v>
      </x:c>
      <x:c r="C16" s="25" t="n">
        <x:f>SUM(C13:C15)</x:f>
        <x:v>52.55555555555556</x:v>
      </x:c>
      <x:c r="D16" s="24" t="str">
        <x:v>日元</x:v>
      </x:c>
      <x:c r="E16" s="2"/>
      <x:c r="F16" s="2"/>
      <x:c r="G16" s="1"/>
    </x:row>
    <x:row r="17" ht="24" customHeight="1">
      <x:c r="A17" s="1"/>
      <x:c r="B17" s="2" t="str">
        <x:v>每个最终采用结果的平均成本</x:v>
      </x:c>
      <x:c r="C17" s="17" t="n">
        <x:f>C16*'参数'!C35</x:f>
        <x:v>131.38888888888889</x:v>
      </x:c>
      <x:c r="D17" s="2" t="str">
        <x:v>日元</x:v>
      </x:c>
      <x:c r="E17" s="2"/>
      <x:c r="F17" s="2" t="str">
        <x:v>2.5份是审美重试假设；这一行仅说明每个采用结果成本，没有再次计入套餐成本。</x:v>
      </x:c>
      <x:c r="G17" s="1"/>
    </x:row>
    <x:row r="18" ht="24" customHeight="1">
      <x:c r="A18" s="1"/>
      <x:c r="B18" s="2"/>
      <x:c r="C18" s="2"/>
      <x:c r="D18" s="2"/>
      <x:c r="E18" s="2"/>
      <x:c r="F18" s="2"/>
      <x:c r="G18" s="1"/>
    </x:row>
    <x:row r="19" ht="24" customHeight="1">
      <x:c r="A19" s="1"/>
      <x:c r="B19" s="2"/>
      <x:c r="C19" s="2"/>
      <x:c r="D19" s="2"/>
      <x:c r="E19" s="2"/>
      <x:c r="F19" s="2"/>
      <x:c r="G19" s="1"/>
    </x:row>
    <x:row r="20" ht="28" customHeight="1">
      <x:c r="A20" s="1"/>
      <x:c r="B20" s="6" t="str">
        <x:v>订阅单位经济</x:v>
      </x:c>
      <x:c r="C20" s="6"/>
      <x:c r="D20" s="6"/>
      <x:c r="E20" s="2"/>
      <x:c r="F20" s="2"/>
      <x:c r="G20" s="1"/>
    </x:row>
    <x:row r="21" ht="24" customHeight="1">
      <x:c r="A21" s="1"/>
      <x:c r="B21" s="2" t="str">
        <x:v>每订阅用户原始含税收款</x:v>
      </x:c>
      <x:c r="C21" s="17" t="n">
        <x:f>'参数'!C5</x:f>
        <x:v>1980</x:v>
      </x:c>
      <x:c r="D21" s="2" t="str">
        <x:v>日元</x:v>
      </x:c>
      <x:c r="E21" s="2"/>
      <x:c r="F21" s="2"/>
      <x:c r="G21" s="1"/>
    </x:row>
    <x:row r="22" ht="24" customHeight="1">
      <x:c r="A22" s="1"/>
      <x:c r="B22" s="2" t="str">
        <x:v>扣预计退款后的不含税收入</x:v>
      </x:c>
      <x:c r="C22" s="17" t="n">
        <x:f>C21*(1-'参数'!C13)/(1+'参数'!C10)</x:f>
        <x:v>1763.9999999999998</x:v>
      </x:c>
      <x:c r="D22" s="2" t="str">
        <x:v>日元</x:v>
      </x:c>
      <x:c r="E22" s="2"/>
      <x:c r="F22" s="2"/>
      <x:c r="G22" s="1"/>
    </x:row>
    <x:row r="23" ht="24" customHeight="1">
      <x:c r="A23" s="1"/>
      <x:c r="B23" s="2" t="str">
        <x:v>支付和订阅账务手续费</x:v>
      </x:c>
      <x:c r="C23" s="17" t="n">
        <x:f>C21*('参数'!C11+'参数'!C12)</x:f>
        <x:v>85.13999999999999</x:v>
      </x:c>
      <x:c r="D23" s="2" t="str">
        <x:v>日元</x:v>
      </x:c>
      <x:c r="E23" s="2"/>
      <x:c r="F23" s="2"/>
      <x:c r="G23" s="1"/>
    </x:row>
    <x:row r="24" ht="24" customHeight="1">
      <x:c r="A24" s="1"/>
      <x:c r="B24" s="2" t="str">
        <x:v>供应商收入分成</x:v>
      </x:c>
      <x:c r="C24" s="17" t="n">
        <x:f>MAX(0,C22-C23)*'参数'!C19*'参数'!C20</x:f>
        <x:v>0</x:v>
      </x:c>
      <x:c r="D24" s="2" t="str">
        <x:v>日元</x:v>
      </x:c>
      <x:c r="E24" s="2"/>
      <x:c r="F24" s="2" t="str">
        <x:v>分成按扣退款税额及手续费后的全部收入计算。实际合同基数可能更不利。</x:v>
      </x:c>
      <x:c r="G24" s="1"/>
    </x:row>
    <x:row r="25" ht="24" customHeight="1">
      <x:c r="A25" s="1"/>
      <x:c r="B25" s="2" t="str">
        <x:v>每用户实际使用次数</x:v>
      </x:c>
      <x:c r="C25" s="17" t="n">
        <x:f>'参数'!C6*'参数'!C7</x:f>
        <x:v>12</x:v>
      </x:c>
      <x:c r="D25" s="2" t="str">
        <x:v>份</x:v>
      </x:c>
      <x:c r="E25" s="2"/>
      <x:c r="F25" s="2"/>
      <x:c r="G25" s="1"/>
    </x:row>
    <x:row r="26" ht="24" customHeight="1">
      <x:c r="A26" s="1"/>
      <x:c r="B26" s="2" t="str">
        <x:v>音乐调用费用</x:v>
      </x:c>
      <x:c r="C26" s="12" t="n">
        <x:f>C25*C13</x:f>
        <x:v>600</x:v>
      </x:c>
      <x:c r="D26" s="2" t="str">
        <x:v>日元</x:v>
      </x:c>
      <x:c r="E26" s="2"/>
      <x:c r="F26" s="2"/>
      <x:c r="G26" s="1"/>
    </x:row>
    <x:row r="27" ht="24" customHeight="1">
      <x:c r="A27" s="1"/>
      <x:c r="B27" s="2" t="str">
        <x:v>GPT 与处理传输费用</x:v>
      </x:c>
      <x:c r="C27" s="12" t="n">
        <x:f>C25*SUM(C14:C15)</x:f>
        <x:v>30.666666666666664</x:v>
      </x:c>
      <x:c r="D27" s="2" t="str">
        <x:v>日元</x:v>
      </x:c>
      <x:c r="E27" s="2"/>
      <x:c r="F27" s="2"/>
      <x:c r="G27" s="1"/>
    </x:row>
    <x:row r="28" ht="24" customHeight="1">
      <x:c r="A28" s="1"/>
      <x:c r="B28" s="2" t="str">
        <x:v>增量客服费用</x:v>
      </x:c>
      <x:c r="C28" s="17" t="n">
        <x:f>'参数'!C23</x:f>
        <x:v>50</x:v>
      </x:c>
      <x:c r="D28" s="2" t="str">
        <x:v>日元</x:v>
      </x:c>
      <x:c r="E28" s="2"/>
      <x:c r="F28" s="2"/>
      <x:c r="G28" s="1"/>
    </x:row>
    <x:row r="29" ht="24" customHeight="1">
      <x:c r="A29" s="1"/>
      <x:c r="B29" s="24" t="str">
        <x:v>平均每订阅用户贡献</x:v>
      </x:c>
      <x:c r="C29" s="25" t="n">
        <x:f>C22-SUM(C23:C24)-SUM(C26:C28)</x:f>
        <x:v>998.193333333333</x:v>
      </x:c>
      <x:c r="D29" s="24" t="str">
        <x:v>日元</x:v>
      </x:c>
      <x:c r="E29" s="2"/>
      <x:c r="F29" s="2"/>
      <x:c r="G29" s="1"/>
    </x:row>
    <x:row r="30" ht="24" customHeight="1">
      <x:c r="A30" s="1"/>
      <x:c r="B30" s="20" t="str">
        <x:v>平均订阅贡献率</x:v>
      </x:c>
      <x:c r="C30" s="22" t="n">
        <x:f>C29/C22</x:f>
        <x:v>0.5658692365835222</x:v>
      </x:c>
      <x:c r="D30" s="20" t="str">
        <x:v>比例</x:v>
      </x:c>
      <x:c r="E30" s="2"/>
      <x:c r="F30" s="2"/>
      <x:c r="G30" s="1"/>
    </x:row>
    <x:row r="31" ht="24" customHeight="1">
      <x:c r="A31" s="1"/>
      <x:c r="B31" s="2" t="str">
        <x:v>满额使用的模型和处理成本</x:v>
      </x:c>
      <x:c r="C31" s="17" t="n">
        <x:f>'参数'!C6*C16</x:f>
        <x:v>1051.111111111111</x:v>
      </x:c>
      <x:c r="D31" s="2" t="str">
        <x:v>日元</x:v>
      </x:c>
      <x:c r="E31" s="2"/>
      <x:c r="F31" s="2"/>
      <x:c r="G31" s="1"/>
    </x:row>
    <x:row r="32" ht="24" customHeight="1">
      <x:c r="A32" s="1"/>
      <x:c r="B32" s="24" t="str">
        <x:v>满额使用每用户贡献</x:v>
      </x:c>
      <x:c r="C32" s="25" t="n">
        <x:f>C22-SUM(C23:C24)-C28-C31</x:f>
        <x:v>577.7488888888886</x:v>
      </x:c>
      <x:c r="D32" s="24" t="str">
        <x:v>日元</x:v>
      </x:c>
      <x:c r="E32" s="2"/>
      <x:c r="F32" s="2"/>
      <x:c r="G32" s="1"/>
    </x:row>
    <x:row r="33" ht="24" customHeight="1">
      <x:c r="A33" s="1"/>
      <x:c r="B33" s="20" t="str">
        <x:v>满额使用贡献率</x:v>
      </x:c>
      <x:c r="C33" s="22" t="n">
        <x:f>C32/C22</x:f>
        <x:v>0.3275220458553791</x:v>
      </x:c>
      <x:c r="D33" s="20" t="str">
        <x:v>比例</x:v>
      </x:c>
      <x:c r="E33" s="2"/>
      <x:c r="F33" s="2"/>
      <x:c r="G33" s="1"/>
    </x:row>
    <x:row r="34" ht="24" customHeight="1">
      <x:c r="A34" s="1"/>
      <x:c r="B34" s="2"/>
      <x:c r="C34" s="2"/>
      <x:c r="D34" s="2"/>
      <x:c r="E34" s="2"/>
      <x:c r="F34" s="2"/>
      <x:c r="G34" s="1"/>
    </x:row>
    <x:row r="35" ht="24" customHeight="1">
      <x:c r="A35" s="1"/>
      <x:c r="B35" s="2"/>
      <x:c r="C35" s="2"/>
      <x:c r="D35" s="2"/>
      <x:c r="E35" s="2"/>
      <x:c r="F35" s="2"/>
      <x:c r="G35" s="1"/>
    </x:row>
    <x:row r="36" ht="28" customHeight="1">
      <x:c r="A36" s="1"/>
      <x:c r="B36" s="6" t="str">
        <x:v>稳定月经营结果</x:v>
      </x:c>
      <x:c r="C36" s="6"/>
      <x:c r="D36" s="6"/>
      <x:c r="E36" s="2"/>
      <x:c r="F36" s="2"/>
      <x:c r="G36" s="1"/>
    </x:row>
    <x:row r="37" ht="24" customHeight="1">
      <x:c r="A37" s="1"/>
      <x:c r="B37" s="2" t="str">
        <x:v>付费订阅用户数</x:v>
      </x:c>
      <x:c r="C37" s="19" t="n">
        <x:f>'参数'!C25</x:f>
        <x:v>1000</x:v>
      </x:c>
      <x:c r="D37" s="2" t="str">
        <x:v>人</x:v>
      </x:c>
      <x:c r="E37" s="2"/>
      <x:c r="F37" s="2"/>
      <x:c r="G37" s="1"/>
    </x:row>
    <x:row r="38" ht="24" customHeight="1">
      <x:c r="A38" s="1"/>
      <x:c r="B38" s="2" t="str">
        <x:v>扣退款后的不含税收入</x:v>
      </x:c>
      <x:c r="C38" s="12" t="n">
        <x:f>C37*C22</x:f>
        <x:v>1763999.9999999998</x:v>
      </x:c>
      <x:c r="D38" s="2" t="str">
        <x:v>日元</x:v>
      </x:c>
      <x:c r="E38" s="2"/>
      <x:c r="F38" s="2"/>
      <x:c r="G38" s="1"/>
    </x:row>
    <x:row r="39" ht="24" customHeight="1">
      <x:c r="A39" s="1"/>
      <x:c r="B39" s="2" t="str">
        <x:v>支付与订阅手续费</x:v>
      </x:c>
      <x:c r="C39" s="12" t="n">
        <x:f>C37*C23</x:f>
        <x:v>85139.99999999999</x:v>
      </x:c>
      <x:c r="D39" s="2" t="str">
        <x:v>日元</x:v>
      </x:c>
      <x:c r="E39" s="2"/>
      <x:c r="F39" s="2"/>
      <x:c r="G39" s="1"/>
    </x:row>
    <x:row r="40" ht="24" customHeight="1">
      <x:c r="A40" s="1"/>
      <x:c r="B40" s="2" t="str">
        <x:v>供应商收入分成</x:v>
      </x:c>
      <x:c r="C40" s="12" t="n">
        <x:f>C37*C24</x:f>
        <x:v>0</x:v>
      </x:c>
      <x:c r="D40" s="2" t="str">
        <x:v>日元</x:v>
      </x:c>
      <x:c r="E40" s="2"/>
      <x:c r="F40" s="2"/>
      <x:c r="G40" s="1"/>
    </x:row>
    <x:row r="41" ht="24" customHeight="1">
      <x:c r="A41" s="1"/>
      <x:c r="B41" s="2" t="str">
        <x:v>音乐调用费用 含试用</x:v>
      </x:c>
      <x:c r="C41" s="17" t="n">
        <x:f>C37*C26+'参数'!C30*'参数'!C31*C13</x:f>
        <x:v>620000</x:v>
      </x:c>
      <x:c r="D41" s="2" t="str">
        <x:v>日元</x:v>
      </x:c>
      <x:c r="E41" s="2"/>
      <x:c r="F41" s="2"/>
      <x:c r="G41" s="1"/>
    </x:row>
    <x:row r="42" ht="24" customHeight="1">
      <x:c r="A42" s="1"/>
      <x:c r="B42" s="2" t="str">
        <x:v>含最低承诺的音乐成本</x:v>
      </x:c>
      <x:c r="C42" s="17" t="n">
        <x:f>MAX(C41,'参数'!C21)</x:f>
        <x:v>620000</x:v>
      </x:c>
      <x:c r="D42" s="2" t="str">
        <x:v>日元</x:v>
      </x:c>
      <x:c r="E42" s="2"/>
      <x:c r="F42" s="2" t="str">
        <x:v>最低承诺与按量调用费取较高值。不可抵扣的OEM授权费在45行另计。</x:v>
      </x:c>
      <x:c r="G42" s="1"/>
    </x:row>
    <x:row r="43" ht="24" customHeight="1">
      <x:c r="A43" s="1"/>
      <x:c r="B43" s="2" t="str">
        <x:v>GPT 与处理传输 含试用</x:v>
      </x:c>
      <x:c r="C43" s="17" t="n">
        <x:f>C37*C27+'参数'!C30*'参数'!C31*SUM(C14:C15)</x:f>
        <x:v>31688.888888888887</x:v>
      </x:c>
      <x:c r="D43" s="2" t="str">
        <x:v>日元</x:v>
      </x:c>
      <x:c r="E43" s="2"/>
      <x:c r="F43" s="2"/>
      <x:c r="G43" s="1"/>
    </x:row>
    <x:row r="44" ht="24" customHeight="1">
      <x:c r="A44" s="1"/>
      <x:c r="B44" s="2" t="str">
        <x:v>增量客服</x:v>
      </x:c>
      <x:c r="C44" s="12" t="n">
        <x:f>C37*C28</x:f>
        <x:v>50000</x:v>
      </x:c>
      <x:c r="D44" s="2" t="str">
        <x:v>日元</x:v>
      </x:c>
      <x:c r="E44" s="2"/>
      <x:c r="F44" s="2"/>
      <x:c r="G44" s="1"/>
    </x:row>
    <x:row r="45" ht="24" customHeight="1">
      <x:c r="A45" s="1"/>
      <x:c r="B45" s="2" t="str">
        <x:v>OEM 固定授权费</x:v>
      </x:c>
      <x:c r="C45" s="17" t="n">
        <x:f>'参数'!C22</x:f>
        <x:v>0</x:v>
      </x:c>
      <x:c r="D45" s="2" t="str">
        <x:v>日元</x:v>
      </x:c>
      <x:c r="E45" s="2"/>
      <x:c r="F45" s="2"/>
      <x:c r="G45" s="1"/>
    </x:row>
    <x:row r="46" ht="24" customHeight="1">
      <x:c r="A46" s="1"/>
      <x:c r="B46" s="2" t="str">
        <x:v>AWS 固定费用</x:v>
      </x:c>
      <x:c r="C46" s="17" t="n">
        <x:f>'参数'!C26</x:f>
        <x:v>80000</x:v>
      </x:c>
      <x:c r="D46" s="2" t="str">
        <x:v>日元</x:v>
      </x:c>
      <x:c r="E46" s="2"/>
      <x:c r="F46" s="2"/>
      <x:c r="G46" s="1"/>
    </x:row>
    <x:row r="47" ht="24" customHeight="1">
      <x:c r="A47" s="1"/>
      <x:c r="B47" s="2" t="str">
        <x:v>人员全成本</x:v>
      </x:c>
      <x:c r="C47" s="17" t="n">
        <x:f>'参数'!C27</x:f>
        <x:v>900000</x:v>
      </x:c>
      <x:c r="D47" s="2" t="str">
        <x:v>日元</x:v>
      </x:c>
      <x:c r="E47" s="2"/>
      <x:c r="F47" s="2"/>
      <x:c r="G47" s="1"/>
    </x:row>
    <x:row r="48" ht="24" customHeight="1">
      <x:c r="A48" s="1"/>
      <x:c r="B48" s="2" t="str">
        <x:v>其他固定费用</x:v>
      </x:c>
      <x:c r="C48" s="17" t="n">
        <x:f>'参数'!C28</x:f>
        <x:v>50000</x:v>
      </x:c>
      <x:c r="D48" s="2" t="str">
        <x:v>日元</x:v>
      </x:c>
      <x:c r="E48" s="2"/>
      <x:c r="F48" s="2"/>
      <x:c r="G48" s="1"/>
    </x:row>
    <x:row r="49" ht="24" customHeight="1">
      <x:c r="A49" s="1"/>
      <x:c r="B49" s="2" t="str">
        <x:v>获客预算</x:v>
      </x:c>
      <x:c r="C49" s="17" t="n">
        <x:f>'参数'!C29</x:f>
        <x:v>100000</x:v>
      </x:c>
      <x:c r="D49" s="2" t="str">
        <x:v>日元</x:v>
      </x:c>
      <x:c r="E49" s="2"/>
      <x:c r="F49" s="2"/>
      <x:c r="G49" s="1"/>
    </x:row>
    <x:row r="50" ht="24" customHeight="1">
      <x:c r="A50" s="1"/>
      <x:c r="B50" s="24" t="str">
        <x:v>全部经营成本</x:v>
      </x:c>
      <x:c r="C50" s="25" t="n">
        <x:f>SUM(C39:C40)+SUM(C42:C49)</x:f>
        <x:v>1916828.888888889</x:v>
      </x:c>
      <x:c r="D50" s="24" t="str">
        <x:v>日元</x:v>
      </x:c>
      <x:c r="E50" s="2"/>
      <x:c r="F50" s="2"/>
      <x:c r="G50" s="1"/>
    </x:row>
    <x:row r="51" ht="24" customHeight="1">
      <x:c r="A51" s="1"/>
      <x:c r="B51" s="2"/>
      <x:c r="C51" s="2"/>
      <x:c r="D51" s="2"/>
      <x:c r="E51" s="2"/>
      <x:c r="F51" s="2"/>
      <x:c r="G51" s="1"/>
    </x:row>
    <x:row r="52" ht="24" customHeight="1">
      <x:c r="A52" s="1"/>
      <x:c r="B52" s="24" t="str">
        <x:v>稳定月经营结果</x:v>
      </x:c>
      <x:c r="C52" s="25" t="n">
        <x:f>C38-C50</x:f>
        <x:v>-152828.88888888923</x:v>
      </x:c>
      <x:c r="D52" s="24" t="str">
        <x:v>日元</x:v>
      </x:c>
      <x:c r="E52" s="2"/>
      <x:c r="F52" s="2"/>
      <x:c r="G52" s="1"/>
    </x:row>
    <x:row r="53" ht="24" customHeight="1">
      <x:c r="A53" s="1"/>
      <x:c r="B53" s="2" t="str">
        <x:v>年度等额运行结果</x:v>
      </x:c>
      <x:c r="C53" s="12" t="n">
        <x:f>C52*12</x:f>
        <x:v>-1833946.6666666707</x:v>
      </x:c>
      <x:c r="D53" s="2" t="str">
        <x:v>日元</x:v>
      </x:c>
      <x:c r="E53" s="2"/>
      <x:c r="F53" s="2" t="str">
        <x:v>仅把稳定月乘12。没有假设每月达到1000名用户，也不是首年预测。</x:v>
      </x:c>
      <x:c r="G53" s="1"/>
    </x:row>
    <x:row r="54" ht="24" customHeight="1">
      <x:c r="A54" s="1"/>
      <x:c r="B54" s="24" t="str">
        <x:v>保本订阅人数</x:v>
      </x:c>
      <x:c r="C54" s="27" t="n">
        <x:f>IF(OR(C29&lt;=0,(C22-C23-C24-C27-C28)&lt;=0),"不可保本",ROUNDUP(MAX((SUM(C45:C49)+'参数'!C30*'参数'!C31*C16)/C29,(SUM(C45:C49)+'参数'!C30*'参数'!C31*SUM(C14:C15)+'参数'!C21)/(C22-C23-C24-C27-C28)),0))</x:f>
        <x:v>1154</x:v>
      </x:c>
      <x:c r="D54" s="24" t="str">
        <x:v>人</x:v>
      </x:c>
      <x:c r="E54" s="2"/>
      <x:c r="F54" s="2" t="str">
        <x:v>同时满足按量费用与最低承诺费用两种条件，已包含免费试用费用。</x:v>
      </x:c>
      <x:c r="G54" s="1"/>
    </x:row>
    <x:row r="55" ht="24" customHeight="1">
      <x:c r="A55" s="1"/>
      <x:c r="B55" s="2"/>
      <x:c r="C55" s="2"/>
      <x:c r="D55" s="2"/>
      <x:c r="E55" s="2"/>
      <x:c r="F55" s="2"/>
      <x:c r="G55" s="1"/>
    </x:row>
    <x:row r="56" ht="24" customHeight="1">
      <x:c r="A56" s="1"/>
      <x:c r="B56" s="2"/>
      <x:c r="C56" s="2"/>
      <x:c r="D56" s="2"/>
      <x:c r="E56" s="2"/>
      <x:c r="F56" s="2"/>
      <x:c r="G56" s="1"/>
    </x:row>
    <x:row r="57" ht="28" customHeight="1">
      <x:c r="A57" s="1"/>
      <x:c r="B57" s="6" t="str">
        <x:v>单次包完全履约</x:v>
      </x:c>
      <x:c r="C57" s="6"/>
      <x:c r="D57" s="6"/>
      <x:c r="E57" s="2"/>
      <x:c r="F57" s="2"/>
      <x:c r="G57" s="1"/>
    </x:row>
    <x:row r="58" ht="24" customHeight="1">
      <x:c r="A58" s="1"/>
      <x:c r="B58" s="2" t="str">
        <x:v>单次包不含税净收入</x:v>
      </x:c>
      <x:c r="C58" s="17" t="n">
        <x:f>'参数'!C8*(1-'参数'!C13)/(1+'参数'!C10)</x:f>
        <x:v>873.090909090909</x:v>
      </x:c>
      <x:c r="D58" s="2" t="str">
        <x:v>日元</x:v>
      </x:c>
      <x:c r="E58" s="2"/>
      <x:c r="F58" s="2"/>
      <x:c r="G58" s="1"/>
    </x:row>
    <x:row r="59" ht="24" customHeight="1">
      <x:c r="A59" s="1"/>
      <x:c r="B59" s="2" t="str">
        <x:v>单次包支付手续费</x:v>
      </x:c>
      <x:c r="C59" s="17" t="n">
        <x:f>'参数'!C8*'参数'!C11</x:f>
        <x:v>35.279999999999994</x:v>
      </x:c>
      <x:c r="D59" s="2" t="str">
        <x:v>日元</x:v>
      </x:c>
      <x:c r="E59" s="2"/>
      <x:c r="F59" s="2"/>
      <x:c r="G59" s="1"/>
    </x:row>
    <x:row r="60" ht="24" customHeight="1">
      <x:c r="A60" s="1"/>
      <x:c r="B60" s="2" t="str">
        <x:v>单次包供应商分成</x:v>
      </x:c>
      <x:c r="C60" s="17" t="n">
        <x:f>MAX(0,C58-C59)*'参数'!C19*'参数'!C20</x:f>
        <x:v>0</x:v>
      </x:c>
      <x:c r="D60" s="2" t="str">
        <x:v>日元</x:v>
      </x:c>
      <x:c r="E60" s="2"/>
      <x:c r="F60" s="2"/>
      <x:c r="G60" s="1"/>
    </x:row>
    <x:row r="61" ht="24" customHeight="1">
      <x:c r="A61" s="1"/>
      <x:c r="B61" s="2" t="str">
        <x:v>5次全部用完的生成成本</x:v>
      </x:c>
      <x:c r="C61" s="17" t="n">
        <x:f>'参数'!C9*C16</x:f>
        <x:v>262.77777777777777</x:v>
      </x:c>
      <x:c r="D61" s="2" t="str">
        <x:v>日元</x:v>
      </x:c>
      <x:c r="E61" s="2"/>
      <x:c r="F61" s="2"/>
      <x:c r="G61" s="1"/>
    </x:row>
    <x:row r="62" ht="24" customHeight="1">
      <x:c r="A62" s="1"/>
      <x:c r="B62" s="24" t="str">
        <x:v>单次包履约贡献</x:v>
      </x:c>
      <x:c r="C62" s="29" t="n">
        <x:f>C58-SUM(C59:C61)-'参数'!C24</x:f>
        <x:v>545.0331313131312</x:v>
      </x:c>
      <x:c r="D62" s="24" t="str">
        <x:v>日元</x:v>
      </x:c>
      <x:c r="E62" s="2"/>
      <x:c r="F62" s="2"/>
      <x:c r="G62" s="1"/>
    </x:row>
    <x:row r="63" ht="24" customHeight="1">
      <x:c r="A63" s="1"/>
      <x:c r="B63" s="20" t="str">
        <x:v>单次包履约贡献率</x:v>
      </x:c>
      <x:c r="C63" s="22" t="n">
        <x:f>C62/C58</x:f>
        <x:v>0.6242570225369058</x:v>
      </x:c>
      <x:c r="D63" s="20" t="str">
        <x:v>比例</x:v>
      </x:c>
      <x:c r="E63" s="2"/>
      <x:c r="F63" s="2" t="str">
        <x:v>贡献不等于现金流或当月确认收入；未履约余额须按会计政策处理。</x:v>
      </x:c>
      <x:c r="G63" s="1"/>
    </x:row>
    <x:row r="64" ht="24" customHeight="1">
      <x:c r="A64" s="1"/>
      <x:c r="B64" s="2"/>
      <x:c r="C64" s="2"/>
      <x:c r="D64" s="2"/>
      <x:c r="E64" s="2"/>
      <x:c r="F64" s="2"/>
      <x:c r="G64" s="1"/>
    </x:row>
    <x:row r="65" ht="24" customHeight="1">
      <x:c r="A65" s="1"/>
      <x:c r="B65" s="2"/>
      <x:c r="C65" s="2"/>
      <x:c r="D65" s="2"/>
      <x:c r="E65" s="2"/>
      <x:c r="F65" s="2"/>
      <x:c r="G65" s="1"/>
    </x:row>
    <x:row r="66" ht="28" customHeight="1">
      <x:c r="A66" s="1"/>
      <x:c r="B66" s="6" t="str">
        <x:v>价格门槛</x:v>
      </x:c>
      <x:c r="C66" s="6"/>
      <x:c r="D66" s="6"/>
      <x:c r="E66" s="2"/>
      <x:c r="F66" s="2"/>
      <x:c r="G66" s="1"/>
    </x:row>
    <x:row r="67" ht="24" customHeight="1">
      <x:c r="A67" s="1"/>
      <x:c r="B67" s="2" t="str">
        <x:v>平均贡献门槛</x:v>
      </x:c>
      <x:c r="C67" s="12" t="str">
        <x:f>IF(C30&gt;='参数'!C33,"达到设计门槛","低于设计门槛")</x:f>
        <x:v>达到设计门槛</x:v>
      </x:c>
      <x:c r="D67" s="2" t="str"/>
      <x:c r="E67" s="2"/>
      <x:c r="F67" s="2" t="str">
        <x:v>企业授权、下载与下游使用许可尚未取得；数值达到门槛不代表可以上线。</x:v>
      </x:c>
      <x:c r="G67" s="1"/>
    </x:row>
    <x:row r="68" ht="24" customHeight="1">
      <x:c r="A68" s="1"/>
      <x:c r="B68" s="2" t="str">
        <x:v>满额贡献门槛</x:v>
      </x:c>
      <x:c r="C68" s="12" t="str">
        <x:f>IF(C33&gt;='参数'!C34,"达到设计门槛","低于设计门槛")</x:f>
        <x:v>达到设计门槛</x:v>
      </x:c>
      <x:c r="D68" s="2" t="str"/>
      <x:c r="E68" s="2"/>
      <x:c r="F68" s="2"/>
      <x:c r="G68" s="1"/>
    </x:row>
    <x:row r="69" ht="24" customHeight="1">
      <x:c r="A69" s="1"/>
      <x:c r="B69" s="2"/>
      <x:c r="C69" s="2"/>
      <x:c r="D69" s="2"/>
      <x:c r="E69" s="2"/>
      <x:c r="F69" s="2"/>
      <x:c r="G69" s="1"/>
    </x:row>
    <x:row r="70" ht="24" customHeight="1">
      <x:c r="A70" s="1"/>
      <x:c r="B70" s="2"/>
      <x:c r="C70" s="2"/>
      <x:c r="D70" s="2"/>
      <x:c r="E70" s="2"/>
      <x:c r="F70" s="2"/>
      <x:c r="G70" s="1"/>
    </x:row>
    <x:row r="71" ht="24" customHeight="1">
      <x:c r="A71" s="1"/>
      <x:c r="B71" s="2"/>
      <x:c r="C71" s="2"/>
      <x:c r="D71" s="2"/>
      <x:c r="E71" s="2"/>
      <x:c r="F71" s="2"/>
      <x:c r="G71" s="1"/>
    </x:row>
    <x:row r="72" ht="24" customHeight="1">
      <x:c r="A72" s="1"/>
      <x:c r="B72" s="2"/>
      <x:c r="C72" s="2"/>
      <x:c r="D72" s="2"/>
      <x:c r="E72" s="2"/>
      <x:c r="F72" s="2"/>
      <x:c r="G72" s="1"/>
    </x:row>
    <x:row r="73" ht="24" customHeight="1">
      <x:c r="A73" s="1"/>
      <x:c r="B73" s="2"/>
      <x:c r="C73" s="2"/>
      <x:c r="D73" s="2"/>
      <x:c r="E73" s="2"/>
      <x:c r="F73" s="2"/>
      <x:c r="G73" s="1"/>
    </x:row>
    <x:row r="74" ht="24" customHeight="1">
      <x:c r="A74" s="1"/>
      <x:c r="B74" s="2"/>
      <x:c r="C74" s="2"/>
      <x:c r="D74" s="2"/>
      <x:c r="E74" s="2"/>
      <x:c r="F74" s="2"/>
      <x:c r="G74" s="1"/>
    </x:row>
    <x:row r="75" ht="24" customHeight="1">
      <x:c r="A75" s="1"/>
      <x:c r="B75" s="2"/>
      <x:c r="C75" s="2"/>
      <x:c r="D75" s="2"/>
      <x:c r="E75" s="2"/>
      <x:c r="F75" s="2"/>
      <x:c r="G75" s="1"/>
    </x:row>
    <x:row r="76" ht="24" customHeight="1">
      <x:c r="A76" s="1"/>
      <x:c r="B76" s="2"/>
      <x:c r="C76" s="2"/>
      <x:c r="D76" s="2"/>
      <x:c r="E76" s="2"/>
      <x:c r="F76" s="2"/>
      <x:c r="G76" s="1"/>
    </x:row>
    <x:row r="77" ht="24" customHeight="1">
      <x:c r="A77" s="1"/>
      <x:c r="B77" s="2"/>
      <x:c r="C77" s="2"/>
      <x:c r="D77" s="2"/>
      <x:c r="E77" s="2"/>
      <x:c r="F77" s="2"/>
      <x:c r="G77" s="1"/>
    </x:row>
    <x:row r="78" ht="24" customHeight="1">
      <x:c r="A78" s="1"/>
      <x:c r="B78" s="2"/>
      <x:c r="C78" s="2"/>
      <x:c r="D78" s="2"/>
      <x:c r="E78" s="2"/>
      <x:c r="F78" s="2"/>
      <x:c r="G78" s="1"/>
    </x:row>
    <x:row r="79" ht="24" customHeight="1">
      <x:c r="A79" s="1"/>
      <x:c r="B79" s="2"/>
      <x:c r="C79" s="2"/>
      <x:c r="D79" s="2"/>
      <x:c r="E79" s="2"/>
      <x:c r="F79" s="2"/>
      <x:c r="G79" s="1"/>
    </x:row>
    <x:row r="80" ht="24" customHeight="1">
      <x:c r="A80" s="1"/>
      <x:c r="B80" s="2"/>
      <x:c r="C80" s="2"/>
      <x:c r="D80" s="2"/>
      <x:c r="E80" s="2"/>
      <x:c r="F80" s="2"/>
      <x:c r="G80" s="1"/>
    </x:row>
    <x:row r="81" ht="24" customHeight="1">
      <x:c r="A81" s="1"/>
      <x:c r="B81" s="2"/>
      <x:c r="C81" s="2"/>
      <x:c r="D81" s="2"/>
      <x:c r="E81" s="2"/>
      <x:c r="F81" s="2"/>
      <x:c r="G81" s="1"/>
    </x:row>
    <x:row r="82" ht="24" customHeight="1">
      <x:c r="A82" s="1"/>
      <x:c r="B82" s="2"/>
      <x:c r="C82" s="2"/>
      <x:c r="D82" s="2"/>
      <x:c r="E82" s="2"/>
      <x:c r="F82" s="2"/>
      <x:c r="G82" s="1"/>
    </x:row>
    <x:row r="83" ht="24" customHeight="1">
      <x:c r="A83" s="1"/>
      <x:c r="B83" s="2"/>
      <x:c r="C83" s="2"/>
      <x:c r="D83" s="2"/>
      <x:c r="E83" s="2"/>
      <x:c r="F83" s="2"/>
      <x:c r="G83" s="1"/>
    </x:row>
    <x:row r="84" ht="24" customHeight="1">
      <x:c r="A84" s="1"/>
      <x:c r="B84" s="2"/>
      <x:c r="C84" s="2"/>
      <x:c r="D84" s="2"/>
      <x:c r="E84" s="2"/>
      <x:c r="F84" s="2"/>
      <x:c r="G84" s="1"/>
    </x:row>
    <x:row r="85" ht="24" customHeight="1">
      <x:c r="A85" s="1"/>
      <x:c r="B85" s="2"/>
      <x:c r="C85" s="2"/>
      <x:c r="D85" s="2"/>
      <x:c r="E85" s="2"/>
      <x:c r="F85" s="2"/>
      <x:c r="G85" s="1"/>
    </x:row>
  </x:sheetData>
  <x:conditionalFormatting sqref="C7:C7">
    <x:cfRule type="cellIs" dxfId="0" priority="1" operator="lessThan">
      <x:formula>0</x:formula>
    </x:cfRule>
  </x:conditionalFormatting>
  <x:conditionalFormatting sqref="C29:C29">
    <x:cfRule type="cellIs" dxfId="1" priority="2" operator="lessThan">
      <x:formula>0</x:formula>
    </x:cfRule>
  </x:conditionalFormatting>
  <x:conditionalFormatting sqref="C32:C32">
    <x:cfRule type="cellIs" dxfId="2" priority="3" operator="lessThan">
      <x:formula>0</x:formula>
    </x:cfRule>
  </x:conditionalFormatting>
  <x:conditionalFormatting sqref="C52:C52">
    <x:cfRule type="cellIs" dxfId="3" priority="4" operator="lessThan">
      <x:formula>0</x:formula>
    </x:cfRule>
  </x:conditionalFormatting>
  <x:conditionalFormatting sqref="C62:C62">
    <x:cfRule type="cellIs" dxfId="4" priority="5" operator="lessThan">
      <x:formula>0</x:formula>
    </x:cfRule>
  </x:conditionalFormatting>
  <x:conditionalFormatting sqref="C67:C68">
    <x:cfRule type="containsText" dxfId="5" priority="6" operator="containsText" text="低于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685A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9" hidden="0" customWidth="1"/>
    <x:col min="3" max="3" width="18" hidden="0" customWidth="1"/>
    <x:col min="4" max="4" width="15" hidden="0" customWidth="1"/>
    <x:col min="5" max="5" width="3" hidden="0" customWidth="1"/>
    <x:col min="6" max="6" width="83" hidden="0" customWidth="1"/>
    <x:col min="7" max="7" width="3" hidden="0" customWidth="1"/>
  </x:cols>
  <x:sheetData>
    <x:row r="1" ht="24" customHeight="1">
      <x:c r="A1" s="1"/>
      <x:c r="B1" s="2"/>
      <x:c r="C1" s="2"/>
      <x:c r="D1" s="2"/>
      <x:c r="E1" s="2"/>
      <x:c r="F1" s="2"/>
      <x:c r="G1" s="1"/>
    </x:row>
    <x:row r="2" ht="24" customHeight="1">
      <x:c r="A2" s="1"/>
      <x:c r="B2" s="3" t="str">
        <x:v>价格与授权成本参数</x:v>
      </x:c>
      <x:c r="C2" s="2"/>
      <x:c r="D2" s="2"/>
      <x:c r="E2" s="2"/>
      <x:c r="F2" s="2" t="str">
        <x:v>蓝色为可修改假设。公开费率已标来源。0分成是目标合同条件，尚未取得。</x:v>
      </x:c>
      <x:c r="G2" s="1"/>
    </x:row>
    <x:row r="3" ht="24" customHeight="1">
      <x:c r="A3" s="1"/>
      <x:c r="B3" s="4"/>
      <x:c r="C3" s="4"/>
      <x:c r="D3" s="4"/>
      <x:c r="E3" s="2"/>
      <x:c r="F3" s="2"/>
      <x:c r="G3" s="1"/>
    </x:row>
    <x:row r="4" ht="28" customHeight="1">
      <x:c r="A4" s="1"/>
      <x:c r="B4" s="6" t="str">
        <x:v>参数</x:v>
      </x:c>
      <x:c r="C4" s="6" t="str">
        <x:v>数值</x:v>
      </x:c>
      <x:c r="D4" s="6" t="str">
        <x:v>单位</x:v>
      </x:c>
      <x:c r="E4" s="2"/>
      <x:c r="F4" s="2" t="str">
        <x:v>来源和使用说明</x:v>
      </x:c>
      <x:c r="G4" s="1"/>
    </x:row>
    <x:row r="5" ht="24" customHeight="1">
      <x:c r="A5" s="1"/>
      <x:c r="B5" s="2" t="str">
        <x:v>订阅价格</x:v>
      </x:c>
      <x:c r="C5" s="9" t="n">
        <x:v>1980</x:v>
      </x:c>
      <x:c r="D5" s="2" t="str">
        <x:v>日元 含税</x:v>
      </x:c>
      <x:c r="E5" s="2"/>
      <x:c r="F5" s="2" t="str">
        <x:v>建议测试价，未验证支付意愿</x:v>
      </x:c>
      <x:c r="G5" s="1"/>
    </x:row>
    <x:row r="6" ht="24" customHeight="1">
      <x:c r="A6" s="1"/>
      <x:c r="B6" s="2" t="str">
        <x:v>每月生成次数</x:v>
      </x:c>
      <x:c r="C6" s="11" t="n">
        <x:v>20</x:v>
      </x:c>
      <x:c r="D6" s="2" t="str">
        <x:v>30秒音源</x:v>
      </x:c>
      <x:c r="E6" s="2"/>
      <x:c r="F6" s="2" t="str">
        <x:v>1次对应1份技术上成功交付的30秒音源</x:v>
      </x:c>
      <x:c r="G6" s="1"/>
    </x:row>
    <x:row r="7" ht="24" customHeight="1">
      <x:c r="A7" s="1"/>
      <x:c r="B7" s="2" t="str">
        <x:v>订阅额度使用率</x:v>
      </x:c>
      <x:c r="C7" s="10" t="n">
        <x:v>0.6</x:v>
      </x:c>
      <x:c r="D7" s="2" t="str">
        <x:v>比例</x:v>
      </x:c>
      <x:c r="E7" s="2"/>
      <x:c r="F7" s="2" t="str">
        <x:v>设计假设。改为100%检查额度用满时的成本</x:v>
      </x:c>
      <x:c r="G7" s="1"/>
    </x:row>
    <x:row r="8" ht="24" customHeight="1">
      <x:c r="A8" s="1"/>
      <x:c r="B8" s="2" t="str">
        <x:v>单次包价格</x:v>
      </x:c>
      <x:c r="C8" s="9" t="n">
        <x:v>980</x:v>
      </x:c>
      <x:c r="D8" s="2" t="str">
        <x:v>日元 含税</x:v>
      </x:c>
      <x:c r="E8" s="2"/>
      <x:c r="F8" s="2" t="str">
        <x:v>建议测试价。销售前确认预付式支付手段适用性</x:v>
      </x:c>
      <x:c r="G8" s="1"/>
    </x:row>
    <x:row r="9" ht="24" customHeight="1">
      <x:c r="A9" s="1"/>
      <x:c r="B9" s="2" t="str">
        <x:v>单次包生成次数</x:v>
      </x:c>
      <x:c r="C9" s="11" t="n">
        <x:v>5</x:v>
      </x:c>
      <x:c r="D9" s="2" t="str">
        <x:v>30秒音源</x:v>
      </x:c>
      <x:c r="E9" s="2"/>
      <x:c r="F9" s="2" t="str">
        <x:v>90天有效。此期限本身不代表法律豁免</x:v>
      </x:c>
      <x:c r="G9" s="1"/>
    </x:row>
    <x:row r="10" ht="24" customHeight="1">
      <x:c r="A10" s="1"/>
      <x:c r="B10" s="2" t="str">
        <x:v>消费税测算税率</x:v>
      </x:c>
      <x:c r="C10" s="10" t="n">
        <x:v>0.1</x:v>
      </x:c>
      <x:c r="D10" s="2" t="str">
        <x:v>比例</x:v>
      </x:c>
      <x:c r="E10" s="2"/>
      <x:c r="F10" s="2" t="str">
        <x:v>日本一般消费税口径的测算假设，税务处理由税理士确认</x:v>
      </x:c>
      <x:c r="G10" s="1"/>
    </x:row>
    <x:row r="11" ht="24" customHeight="1">
      <x:c r="A11" s="1"/>
      <x:c r="B11" s="2" t="str">
        <x:v>Stripe Payments</x:v>
      </x:c>
      <x:c r="C11" s="10" t="n">
        <x:v>0.036</x:v>
      </x:c>
      <x:c r="D11" s="2" t="str">
        <x:v>比例</x:v>
      </x:c>
      <x:c r="E11" s="2"/>
      <x:c r="F11" s="2" t="str">
        <x:v>公开日本标准卡费率 https://stripe.com/en-jp/pricing</x:v>
      </x:c>
      <x:c r="G11" s="1"/>
    </x:row>
    <x:row r="12" ht="24" customHeight="1">
      <x:c r="A12" s="1"/>
      <x:c r="B12" s="2" t="str">
        <x:v>Stripe Billing</x:v>
      </x:c>
      <x:c r="C12" s="10" t="n">
        <x:v>0.007</x:v>
      </x:c>
      <x:c r="D12" s="2" t="str">
        <x:v>比例</x:v>
      </x:c>
      <x:c r="E12" s="2"/>
      <x:c r="F12" s="2" t="str">
        <x:v>公开按量方案费率 https://stripe.com/en-jp/pricing</x:v>
      </x:c>
      <x:c r="G12" s="1"/>
    </x:row>
    <x:row r="13" ht="24" customHeight="1">
      <x:c r="A13" s="1"/>
      <x:c r="B13" s="2" t="str">
        <x:v>退款收入比例</x:v>
      </x:c>
      <x:c r="C13" s="10" t="n">
        <x:v>0.02</x:v>
      </x:c>
      <x:c r="D13" s="2" t="str">
        <x:v>比例</x:v>
      </x:c>
      <x:c r="E13" s="2"/>
      <x:c r="F13" s="2" t="str">
        <x:v>设计假设。手续费保留按原收款额计算，生成成本不冲回</x:v>
      </x:c>
      <x:c r="G13" s="1"/>
    </x:row>
    <x:row r="14" ht="24" customHeight="1">
      <x:c r="A14" s="1"/>
      <x:c r="B14" s="2" t="str">
        <x:v>音乐模型每次请求成本</x:v>
      </x:c>
      <x:c r="C14" s="9" t="n">
        <x:v>45</x:v>
      </x:c>
      <x:c r="D14" s="2" t="str">
        <x:v>日元</x:v>
      </x:c>
      <x:c r="E14" s="2"/>
      <x:c r="F14" s="2" t="str">
        <x:v>预算参考$300/1000首，按假设150日元/美元换算；不是实时汇率或已获报价</x:v>
      </x:c>
      <x:c r="G14" s="1"/>
    </x:row>
    <x:row r="15" ht="24" customHeight="1">
      <x:c r="A15" s="1"/>
      <x:c r="B15" s="2" t="str">
        <x:v>请求技术成功率</x:v>
      </x:c>
      <x:c r="C15" s="10" t="n">
        <x:v>0.9</x:v>
      </x:c>
      <x:c r="D15" s="2" t="str">
        <x:v>比例</x:v>
      </x:c>
      <x:c r="E15" s="2"/>
      <x:c r="F15" s="2" t="str">
        <x:v>设计假设。与用户觉得好听的比例不同</x:v>
      </x:c>
      <x:c r="G15" s="1"/>
    </x:row>
    <x:row r="16" ht="24" customHeight="1">
      <x:c r="A16" s="1"/>
      <x:c r="B16" s="2" t="str">
        <x:v>失败请求收费比例</x:v>
      </x:c>
      <x:c r="C16" s="10" t="n">
        <x:v>1</x:v>
      </x:c>
      <x:c r="D16" s="2" t="str">
        <x:v>比例</x:v>
      </x:c>
      <x:c r="E16" s="2"/>
      <x:c r="F16" s="2" t="str">
        <x:v>保守设为全部收费；成功才计费合同可填0</x:v>
      </x:c>
      <x:c r="G16" s="1"/>
    </x:row>
    <x:row r="17" ht="24" customHeight="1">
      <x:c r="A17" s="1"/>
      <x:c r="B17" s="2" t="str">
        <x:v>每次请求 GPT 成本</x:v>
      </x:c>
      <x:c r="C17" s="9" t="n">
        <x:v>0.5</x:v>
      </x:c>
      <x:c r="D17" s="2" t="str">
        <x:v>日元</x:v>
      </x:c>
      <x:c r="E17" s="2"/>
      <x:c r="F17" s="2" t="str">
        <x:v>TokenStars内部采购成本假设。不是OpenAI公开定价</x:v>
      </x:c>
      <x:c r="G17" s="1"/>
    </x:row>
    <x:row r="18" ht="24" customHeight="1">
      <x:c r="A18" s="1"/>
      <x:c r="B18" s="2" t="str">
        <x:v>每份交付处理与传输成本</x:v>
      </x:c>
      <x:c r="C18" s="9" t="n">
        <x:v>2</x:v>
      </x:c>
      <x:c r="D18" s="2" t="str">
        <x:v>日元</x:v>
      </x:c>
      <x:c r="E18" s="2"/>
      <x:c r="F18" s="2" t="str">
        <x:v>CPU裁剪、音量处理、S3/CDN等增量成本假设</x:v>
      </x:c>
      <x:c r="G18" s="1"/>
    </x:row>
    <x:row r="19" ht="24" customHeight="1">
      <x:c r="A19" s="1"/>
      <x:c r="B19" s="2" t="str">
        <x:v>音乐供应商收入分成率</x:v>
      </x:c>
      <x:c r="C19" s="10" t="n">
        <x:v>0</x:v>
      </x:c>
      <x:c r="D19" s="2" t="str">
        <x:v>比例</x:v>
      </x:c>
      <x:c r="E19" s="2"/>
      <x:c r="F19" s="2" t="str">
        <x:v>目标固定费合同设为0。可填70%评估公开下载分成风险，实际计费待谈</x:v>
      </x:c>
      <x:c r="G19" s="1"/>
    </x:row>
    <x:row r="20" ht="24" customHeight="1">
      <x:c r="A20" s="1"/>
      <x:c r="B20" s="2" t="str">
        <x:v>分成适用收入比例</x:v>
      </x:c>
      <x:c r="C20" s="10" t="n">
        <x:v>1</x:v>
      </x:c>
      <x:c r="D20" s="2" t="str">
        <x:v>比例</x:v>
      </x:c>
      <x:c r="E20" s="2"/>
      <x:c r="F20" s="2" t="str">
        <x:v>保守假设全部收入扣消费税和支付费后参与分成；以签署合同替换</x:v>
      </x:c>
      <x:c r="G20" s="1"/>
    </x:row>
    <x:row r="21" ht="24" customHeight="1">
      <x:c r="A21" s="1"/>
      <x:c r="B21" s="2" t="str">
        <x:v>可抵扣调用费的月度最低承诺</x:v>
      </x:c>
      <x:c r="C21" s="9" t="n">
        <x:v>45000</x:v>
      </x:c>
      <x:c r="D21" s="2" t="str">
        <x:v>日元</x:v>
      </x:c>
      <x:c r="E21" s="2"/>
      <x:c r="F21" s="2" t="str">
        <x:v>预算占位。按MAX(调用费,最低承诺)计，避免重复计算</x:v>
      </x:c>
      <x:c r="G21" s="1"/>
    </x:row>
    <x:row r="22" ht="24" customHeight="1">
      <x:c r="A22" s="1"/>
      <x:c r="B22" s="2" t="str">
        <x:v>不可抵扣的每月 OEM 授权费</x:v>
      </x:c>
      <x:c r="C22" s="9" t="n">
        <x:v>0</x:v>
      </x:c>
      <x:c r="D22" s="2" t="str">
        <x:v>日元</x:v>
      </x:c>
      <x:c r="E22" s="2"/>
      <x:c r="F22" s="2" t="str">
        <x:v>报价未取得。0为占位，不代表供应商免收此费</x:v>
      </x:c>
      <x:c r="G22" s="1"/>
    </x:row>
    <x:row r="23" ht="24" customHeight="1">
      <x:c r="A23" s="1"/>
      <x:c r="B23" s="2" t="str">
        <x:v>订阅用户支持成本</x:v>
      </x:c>
      <x:c r="C23" s="9" t="n">
        <x:v>50</x:v>
      </x:c>
      <x:c r="D23" s="2" t="str">
        <x:v>日元 每用户月</x:v>
      </x:c>
      <x:c r="E23" s="2"/>
      <x:c r="F23" s="2" t="str">
        <x:v>增量客服成本，不包含固定团队工资</x:v>
      </x:c>
      <x:c r="G23" s="1"/>
    </x:row>
    <x:row r="24" ht="24" customHeight="1">
      <x:c r="A24" s="1"/>
      <x:c r="B24" s="2" t="str">
        <x:v>单次包支持成本</x:v>
      </x:c>
      <x:c r="C24" s="9" t="n">
        <x:v>30</x:v>
      </x:c>
      <x:c r="D24" s="2" t="str">
        <x:v>日元 每笔</x:v>
      </x:c>
      <x:c r="E24" s="2"/>
      <x:c r="F24" s="2" t="str">
        <x:v>设计假设</x:v>
      </x:c>
      <x:c r="G24" s="1"/>
    </x:row>
    <x:row r="25" ht="24" customHeight="1">
      <x:c r="A25" s="1"/>
      <x:c r="B25" s="2" t="str">
        <x:v>当月付费订阅用户数</x:v>
      </x:c>
      <x:c r="C25" s="11" t="n">
        <x:v>1000</x:v>
      </x:c>
      <x:c r="D25" s="2" t="str">
        <x:v>人</x:v>
      </x:c>
      <x:c r="E25" s="2"/>
      <x:c r="F25" s="2" t="str">
        <x:v>稳定月假设，不是预测。未叠加单次包收入</x:v>
      </x:c>
      <x:c r="G25" s="1"/>
    </x:row>
    <x:row r="26" ht="24" customHeight="1">
      <x:c r="A26" s="1"/>
      <x:c r="B26" s="2" t="str">
        <x:v>AWS 固定成本</x:v>
      </x:c>
      <x:c r="C26" s="9" t="n">
        <x:v>80000</x:v>
      </x:c>
      <x:c r="D26" s="2" t="str">
        <x:v>日元 每月</x:v>
      </x:c>
      <x:c r="E26" s="2"/>
      <x:c r="F26" s="2" t="str">
        <x:v>独立EKS/RDS/ALB/NAT/监控预算，待AWS计算器和现有资源核算</x:v>
      </x:c>
      <x:c r="G26" s="1"/>
    </x:row>
    <x:row r="27" ht="24" customHeight="1">
      <x:c r="A27" s="1"/>
      <x:c r="B27" s="2" t="str">
        <x:v>人员全成本</x:v>
      </x:c>
      <x:c r="C27" s="9" t="n">
        <x:v>900000</x:v>
      </x:c>
      <x:c r="D27" s="2" t="str">
        <x:v>日元 每月</x:v>
      </x:c>
      <x:c r="E27" s="2"/>
      <x:c r="F27" s="2" t="str">
        <x:v>示例团队分摊及机会成本。不是招聘报价</x:v>
      </x:c>
      <x:c r="G27" s="1"/>
    </x:row>
    <x:row r="28" ht="24" customHeight="1">
      <x:c r="A28" s="1"/>
      <x:c r="B28" s="2" t="str">
        <x:v>其他固定费用</x:v>
      </x:c>
      <x:c r="C28" s="9" t="n">
        <x:v>50000</x:v>
      </x:c>
      <x:c r="D28" s="2" t="str">
        <x:v>日元 每月</x:v>
      </x:c>
      <x:c r="E28" s="2"/>
      <x:c r="F28" s="2" t="str">
        <x:v>持续法务、工具、管理等预算占位</x:v>
      </x:c>
      <x:c r="G28" s="1"/>
    </x:row>
    <x:row r="29" ht="24" customHeight="1">
      <x:c r="A29" s="1"/>
      <x:c r="B29" s="2" t="str">
        <x:v>当月获客支出</x:v>
      </x:c>
      <x:c r="C29" s="9" t="n">
        <x:v>100000</x:v>
      </x:c>
      <x:c r="D29" s="2" t="str">
        <x:v>日元 每月</x:v>
      </x:c>
      <x:c r="E29" s="2"/>
      <x:c r="F29" s="2" t="str">
        <x:v>设计预算；不是历史获客数据</x:v>
      </x:c>
      <x:c r="G29" s="1"/>
    </x:row>
    <x:row r="30" ht="24" customHeight="1">
      <x:c r="A30" s="1"/>
      <x:c r="B30" s="2" t="str">
        <x:v>新增免费试用人数</x:v>
      </x:c>
      <x:c r="C30" s="11" t="n">
        <x:v>200</x:v>
      </x:c>
      <x:c r="D30" s="2" t="str">
        <x:v>人 每月</x:v>
      </x:c>
      <x:c r="E30" s="2"/>
      <x:c r="F30" s="2" t="str">
        <x:v>只在授权允许且设置总成本上限后启用</x:v>
      </x:c>
      <x:c r="G30" s="1"/>
    </x:row>
    <x:row r="31" ht="24" customHeight="1">
      <x:c r="A31" s="1"/>
      <x:c r="B31" s="2" t="str">
        <x:v>每人免费试用次数</x:v>
      </x:c>
      <x:c r="C31" s="11" t="n">
        <x:v>2</x:v>
      </x:c>
      <x:c r="D31" s="2" t="str">
        <x:v>30秒音源</x:v>
      </x:c>
      <x:c r="E31" s="2"/>
      <x:c r="F31" s="2" t="str">
        <x:v>有预算的付费上游试用，不借用供应商个人免费账户</x:v>
      </x:c>
      <x:c r="G31" s="1"/>
    </x:row>
    <x:row r="32" ht="24" customHeight="1">
      <x:c r="A32" s="1"/>
      <x:c r="B32" s="2" t="str">
        <x:v>每个付费用户获客成本</x:v>
      </x:c>
      <x:c r="C32" s="9" t="n">
        <x:v>2500</x:v>
      </x:c>
      <x:c r="D32" s="2" t="str">
        <x:v>日元</x:v>
      </x:c>
      <x:c r="E32" s="2"/>
      <x:c r="F32" s="2" t="str">
        <x:v>用于回本月数的独立假设；不据此预测用户数</x:v>
      </x:c>
      <x:c r="G32" s="1"/>
    </x:row>
    <x:row r="33" ht="24" customHeight="1">
      <x:c r="A33" s="1"/>
      <x:c r="B33" s="2" t="str">
        <x:v>目标平均贡献率</x:v>
      </x:c>
      <x:c r="C33" s="10" t="n">
        <x:v>0.5</x:v>
      </x:c>
      <x:c r="D33" s="2" t="str">
        <x:v>比例</x:v>
      </x:c>
      <x:c r="E33" s="2"/>
      <x:c r="F33" s="2" t="str">
        <x:v>管理决策门槛，不是行业基准</x:v>
      </x:c>
      <x:c r="G33" s="1"/>
    </x:row>
    <x:row r="34" ht="24" customHeight="1">
      <x:c r="A34" s="1"/>
      <x:c r="B34" s="2" t="str">
        <x:v>目标满额贡献率</x:v>
      </x:c>
      <x:c r="C34" s="10" t="n">
        <x:v>0.3</x:v>
      </x:c>
      <x:c r="D34" s="2" t="str">
        <x:v>比例</x:v>
      </x:c>
      <x:c r="E34" s="2"/>
      <x:c r="F34" s="2" t="str">
        <x:v>管理决策门槛，不是行业基准</x:v>
      </x:c>
      <x:c r="G34" s="1"/>
    </x:row>
    <x:row r="35" ht="24" customHeight="1">
      <x:c r="A35" s="1"/>
      <x:c r="B35" s="2" t="str">
        <x:v>每个最终导出平均生成份数</x:v>
      </x:c>
      <x:c r="C35" s="9" t="n">
        <x:v>2.5</x:v>
      </x:c>
      <x:c r="D35" s="2" t="str">
        <x:v>份</x:v>
      </x:c>
      <x:c r="E35" s="2"/>
      <x:c r="F35" s="2" t="str">
        <x:v>审美重试假设。只用于每个采用结果成本，不重复计入套餐成本</x:v>
      </x:c>
      <x:c r="G35" s="1"/>
    </x:row>
    <x:row r="36" ht="24" customHeight="1">
      <x:c r="A36" s="1"/>
      <x:c r="B36" s="2"/>
      <x:c r="C36" s="2"/>
      <x:c r="D36" s="2"/>
      <x:c r="E36" s="2"/>
      <x:c r="F36" s="2"/>
      <x:c r="G36" s="1"/>
    </x:row>
    <x:row r="37" ht="24" customHeight="1">
      <x:c r="A37" s="1"/>
      <x:c r="B37" s="2"/>
      <x:c r="C37" s="2"/>
      <x:c r="D37" s="2"/>
      <x:c r="E37" s="2"/>
      <x:c r="F37" s="2"/>
      <x:c r="G37" s="1"/>
    </x:row>
    <x:row r="38" ht="24" customHeight="1">
      <x:c r="A38" s="1"/>
      <x:c r="B38" s="2" t="str">
        <x:v>计费与法律口径</x:v>
      </x:c>
      <x:c r="C38" s="2"/>
      <x:c r="D38" s="2"/>
      <x:c r="E38" s="2"/>
      <x:c r="F38" s="2" t="str">
        <x:v>供应商收入分成基数、最低承诺、授权费须分别谈判，不能仅按每次调用成本决定售价。</x:v>
      </x:c>
      <x:c r="G38" s="1"/>
    </x:row>
    <x:row r="39" ht="24" customHeight="1">
      <x:c r="A39" s="1"/>
      <x:c r="B39" s="2" t="str">
        <x:v>公开合同来源</x:v>
      </x:c>
      <x:c r="C39" s="2"/>
      <x:c r="D39" s="2"/>
      <x:c r="E39" s="2"/>
      <x:c r="F39" s="2" t="str">
        <x:v>https://docs.google.com/document/d/1IJexqNtBzHJenYfQoxc4nxXn7VC3MY7LXa3bKAbg0Rs/edit</x:v>
      </x:c>
      <x:c r="G39" s="1"/>
    </x:row>
    <x:row r="40" ht="24" customHeight="1">
      <x:c r="A40" s="1"/>
      <x:c r="B40" s="2" t="str">
        <x:v>模型限制</x:v>
      </x:c>
      <x:c r="C40" s="2"/>
      <x:c r="D40" s="2"/>
      <x:c r="E40" s="2"/>
      <x:c r="F40" s="2" t="str">
        <x:v>本表是稳定月经营模型。单次包为履约贡献测算，收款不等于当月确认收入。</x:v>
      </x:c>
      <x:c r="G40" s="1"/>
    </x:row>
    <x:row r="41" ht="24" customHeight="1">
      <x:c r="A41" s="1"/>
      <x:c r="B41" s="2" t="str">
        <x:v>现金流限制</x:v>
      </x:c>
      <x:c r="C41" s="2"/>
      <x:c r="D41" s="2"/>
      <x:c r="E41" s="2"/>
      <x:c r="F41" s="2" t="str">
        <x:v>未模拟Stripe回款天数、拒付冻结、预付款及税金缴纳时点；需要另留营运资金。</x:v>
      </x:c>
      <x:c r="G41" s="1"/>
    </x:row>
    <x:row r="42" ht="24" customHeight="1">
      <x:c r="A42" s="1"/>
      <x:c r="B42" s="2" t="str">
        <x:v>付费决策</x:v>
      </x:c>
      <x:c r="C42" s="2"/>
      <x:c r="D42" s="2"/>
      <x:c r="E42" s="2"/>
      <x:c r="F42" s="2" t="str">
        <x:v>改供应商成本、分成及额度后查看贡献率与保本人数。未签企业授权时不可据此上线。</x:v>
      </x:c>
      <x:c r="G42" s="1"/>
    </x:row>
    <x:row r="43" ht="24" customHeight="1">
      <x:c r="A43" s="1"/>
      <x:c r="B43" s="2"/>
      <x:c r="C43" s="2"/>
      <x:c r="D43" s="2"/>
      <x:c r="E43" s="2"/>
      <x:c r="F43" s="2"/>
      <x:c r="G43" s="1"/>
    </x:row>
    <x:row r="44" ht="24" customHeight="1">
      <x:c r="A44" s="1"/>
      <x:c r="B44" s="2"/>
      <x:c r="C44" s="2"/>
      <x:c r="D44" s="2"/>
      <x:c r="E44" s="2"/>
      <x:c r="F44" s="2"/>
      <x:c r="G44" s="1"/>
    </x:row>
    <x:row r="45" ht="24" customHeight="1">
      <x:c r="A45" s="1"/>
      <x:c r="B45" s="2"/>
      <x:c r="C45" s="2"/>
      <x:c r="D45" s="2"/>
      <x:c r="E45" s="2"/>
      <x:c r="F45" s="2"/>
      <x:c r="G45" s="1"/>
    </x:row>
    <x:row r="46" ht="24" customHeight="1">
      <x:c r="A46" s="1"/>
      <x:c r="B46" s="2"/>
      <x:c r="C46" s="2"/>
      <x:c r="D46" s="2"/>
      <x:c r="E46" s="2"/>
      <x:c r="F46" s="2"/>
      <x:c r="G46" s="1"/>
    </x:row>
    <x:row r="47" ht="24" customHeight="1">
      <x:c r="A47" s="1"/>
      <x:c r="B47" s="2"/>
      <x:c r="C47" s="2"/>
      <x:c r="D47" s="2"/>
      <x:c r="E47" s="2"/>
      <x:c r="F47" s="2"/>
      <x:c r="G47" s="1"/>
    </x:row>
    <x:row r="48" ht="24" customHeight="1">
      <x:c r="A48" s="1"/>
      <x:c r="B48" s="2"/>
      <x:c r="C48" s="2"/>
      <x:c r="D48" s="2"/>
      <x:c r="E48" s="2"/>
      <x:c r="F48" s="2"/>
      <x:c r="G48" s="1"/>
    </x:row>
    <x:row r="49" ht="24" customHeight="1">
      <x:c r="A49" s="1"/>
      <x:c r="B49" s="2"/>
      <x:c r="C49" s="2"/>
      <x:c r="D49" s="2"/>
      <x:c r="E49" s="2"/>
      <x:c r="F49" s="2"/>
      <x:c r="G49" s="1"/>
    </x:row>
    <x:row r="50" ht="24" customHeight="1">
      <x:c r="A50" s="1"/>
      <x:c r="B50" s="2"/>
      <x:c r="C50" s="2"/>
      <x:c r="D50" s="2"/>
      <x:c r="E50" s="2"/>
      <x:c r="F50" s="2"/>
      <x:c r="G50" s="1"/>
    </x:row>
    <x:row r="51" ht="24" customHeight="1">
      <x:c r="A51" s="1"/>
      <x:c r="B51" s="2"/>
      <x:c r="C51" s="2"/>
      <x:c r="D51" s="2"/>
      <x:c r="E51" s="2"/>
      <x:c r="F51" s="2"/>
      <x:c r="G51" s="1"/>
    </x:row>
    <x:row r="52" ht="24" customHeight="1">
      <x:c r="A52" s="1"/>
      <x:c r="B52" s="2"/>
      <x:c r="C52" s="2"/>
      <x:c r="D52" s="2"/>
      <x:c r="E52" s="2"/>
      <x:c r="F52" s="2"/>
      <x:c r="G52" s="1"/>
    </x:row>
    <x:row r="53" ht="24" customHeight="1">
      <x:c r="A53" s="1"/>
      <x:c r="B53" s="2"/>
      <x:c r="C53" s="2"/>
      <x:c r="D53" s="2"/>
      <x:c r="E53" s="2"/>
      <x:c r="F53" s="2"/>
      <x:c r="G53" s="1"/>
    </x:row>
    <x:row r="54" ht="24" customHeight="1">
      <x:c r="A54" s="1"/>
      <x:c r="B54" s="2"/>
      <x:c r="C54" s="2"/>
      <x:c r="D54" s="2"/>
      <x:c r="E54" s="2"/>
      <x:c r="F54" s="2"/>
      <x:c r="G54" s="1"/>
    </x:row>
    <x:row r="55" ht="24" customHeight="1">
      <x:c r="A55" s="1"/>
      <x:c r="B55" s="2"/>
      <x:c r="C55" s="2"/>
      <x:c r="D55" s="2"/>
      <x:c r="E55" s="2"/>
      <x:c r="F55" s="2"/>
      <x:c r="G55" s="1"/>
    </x:row>
    <x:row r="56" ht="24" customHeight="1">
      <x:c r="A56" s="1"/>
      <x:c r="B56" s="2"/>
      <x:c r="C56" s="2"/>
      <x:c r="D56" s="2"/>
      <x:c r="E56" s="2"/>
      <x:c r="F56" s="2"/>
      <x:c r="G56" s="1"/>
    </x:row>
    <x:row r="57" ht="24" customHeight="1">
      <x:c r="A57" s="1"/>
      <x:c r="B57" s="2"/>
      <x:c r="C57" s="2"/>
      <x:c r="D57" s="2"/>
      <x:c r="E57" s="2"/>
      <x:c r="F57" s="2"/>
      <x:c r="G57" s="1"/>
    </x:row>
    <x:row r="58" ht="24" customHeight="1">
      <x:c r="A58" s="1"/>
      <x:c r="B58" s="2"/>
      <x:c r="C58" s="2"/>
      <x:c r="D58" s="2"/>
      <x:c r="E58" s="2"/>
      <x:c r="F58" s="2"/>
      <x:c r="G58" s="1"/>
    </x:row>
    <x:row r="59" ht="24" customHeight="1">
      <x:c r="A59" s="1"/>
      <x:c r="B59" s="2"/>
      <x:c r="C59" s="2"/>
      <x:c r="D59" s="2"/>
      <x:c r="E59" s="2"/>
      <x:c r="F59" s="2"/>
      <x:c r="G59" s="1"/>
    </x:row>
    <x:row r="60" ht="24" customHeight="1">
      <x:c r="A60" s="1"/>
      <x:c r="B60" s="2"/>
      <x:c r="C60" s="2"/>
      <x:c r="D60" s="2"/>
      <x:c r="E60" s="2"/>
      <x:c r="F60" s="2"/>
      <x:c r="G60" s="1"/>
    </x:row>
    <x:row r="61" ht="24" customHeight="1">
      <x:c r="A61" s="1"/>
      <x:c r="B61" s="2"/>
      <x:c r="C61" s="2"/>
      <x:c r="D61" s="2"/>
      <x:c r="E61" s="2"/>
      <x:c r="F61" s="2"/>
      <x:c r="G61" s="1"/>
    </x:row>
    <x:row r="62" ht="24" customHeight="1">
      <x:c r="A62" s="1"/>
      <x:c r="B62" s="2"/>
      <x:c r="C62" s="2"/>
      <x:c r="D62" s="2"/>
      <x:c r="E62" s="2"/>
      <x:c r="F62" s="2"/>
      <x:c r="G62" s="1"/>
    </x:row>
    <x:row r="63" ht="24" customHeight="1">
      <x:c r="A63" s="1"/>
      <x:c r="B63" s="2"/>
      <x:c r="C63" s="2"/>
      <x:c r="D63" s="2"/>
      <x:c r="E63" s="2"/>
      <x:c r="F63" s="2"/>
      <x:c r="G63" s="1"/>
    </x:row>
    <x:row r="64" ht="24" customHeight="1">
      <x:c r="A64" s="1"/>
      <x:c r="B64" s="2"/>
      <x:c r="C64" s="2"/>
      <x:c r="D64" s="2"/>
      <x:c r="E64" s="2"/>
      <x:c r="F64" s="2"/>
      <x:c r="G64" s="1"/>
    </x:row>
    <x:row r="65" ht="24" customHeight="1">
      <x:c r="A65" s="1"/>
      <x:c r="B65" s="2"/>
      <x:c r="C65" s="2"/>
      <x:c r="D65" s="2"/>
      <x:c r="E65" s="2"/>
      <x:c r="F65" s="2"/>
      <x:c r="G65" s="1"/>
    </x:row>
    <x:row r="66" ht="24" customHeight="1">
      <x:c r="A66" s="1"/>
      <x:c r="B66" s="2"/>
      <x:c r="C66" s="2"/>
      <x:c r="D66" s="2"/>
      <x:c r="E66" s="2"/>
      <x:c r="F66" s="2"/>
      <x:c r="G66" s="1"/>
    </x:row>
    <x:row r="67" ht="24" customHeight="1">
      <x:c r="A67" s="1"/>
      <x:c r="B67" s="2"/>
      <x:c r="C67" s="2"/>
      <x:c r="D67" s="2"/>
      <x:c r="E67" s="2"/>
      <x:c r="F67" s="2"/>
      <x:c r="G67" s="1"/>
    </x:row>
    <x:row r="68" ht="24" customHeight="1">
      <x:c r="A68" s="1"/>
      <x:c r="B68" s="2"/>
      <x:c r="C68" s="2"/>
      <x:c r="D68" s="2"/>
      <x:c r="E68" s="2"/>
      <x:c r="F68" s="2"/>
      <x:c r="G68" s="1"/>
    </x:row>
    <x:row r="69" ht="24" customHeight="1">
      <x:c r="A69" s="1"/>
      <x:c r="B69" s="2"/>
      <x:c r="C69" s="2"/>
      <x:c r="D69" s="2"/>
      <x:c r="E69" s="2"/>
      <x:c r="F69" s="2"/>
      <x:c r="G69" s="1"/>
    </x:row>
    <x:row r="70" ht="24" customHeight="1">
      <x:c r="A70" s="1"/>
      <x:c r="B70" s="2"/>
      <x:c r="C70" s="2"/>
      <x:c r="D70" s="2"/>
      <x:c r="E70" s="2"/>
      <x:c r="F70" s="2"/>
      <x:c r="G70" s="1"/>
    </x:row>
    <x:row r="71" ht="24" customHeight="1">
      <x:c r="A71" s="1"/>
      <x:c r="B71" s="2"/>
      <x:c r="C71" s="2"/>
      <x:c r="D71" s="2"/>
      <x:c r="E71" s="2"/>
      <x:c r="F71" s="2"/>
      <x:c r="G71" s="1"/>
    </x:row>
    <x:row r="72" ht="24" customHeight="1">
      <x:c r="A72" s="1"/>
      <x:c r="B72" s="2"/>
      <x:c r="C72" s="2"/>
      <x:c r="D72" s="2"/>
      <x:c r="E72" s="2"/>
      <x:c r="F72" s="2"/>
      <x:c r="G72" s="1"/>
    </x:row>
    <x:row r="73" ht="24" customHeight="1">
      <x:c r="A73" s="1"/>
      <x:c r="B73" s="2"/>
      <x:c r="C73" s="2"/>
      <x:c r="D73" s="2"/>
      <x:c r="E73" s="2"/>
      <x:c r="F73" s="2"/>
      <x:c r="G73" s="1"/>
    </x:row>
    <x:row r="74" ht="24" customHeight="1">
      <x:c r="A74" s="1"/>
      <x:c r="B74" s="2"/>
      <x:c r="C74" s="2"/>
      <x:c r="D74" s="2"/>
      <x:c r="E74" s="2"/>
      <x:c r="F74" s="2"/>
      <x:c r="G74" s="1"/>
    </x:row>
    <x:row r="75" ht="24" customHeight="1">
      <x:c r="A75" s="1"/>
      <x:c r="B75" s="2"/>
      <x:c r="C75" s="2"/>
      <x:c r="D75" s="2"/>
      <x:c r="E75" s="2"/>
      <x:c r="F75" s="2"/>
      <x:c r="G75" s="1"/>
    </x:row>
    <x:row r="76" ht="24" customHeight="1">
      <x:c r="A76" s="1"/>
      <x:c r="B76" s="2"/>
      <x:c r="C76" s="2"/>
      <x:c r="D76" s="2"/>
      <x:c r="E76" s="2"/>
      <x:c r="F76" s="2"/>
      <x:c r="G76" s="1"/>
    </x:row>
    <x:row r="77" ht="24" customHeight="1">
      <x:c r="A77" s="1"/>
      <x:c r="B77" s="2"/>
      <x:c r="C77" s="2"/>
      <x:c r="D77" s="2"/>
      <x:c r="E77" s="2"/>
      <x:c r="F77" s="2"/>
      <x:c r="G77" s="1"/>
    </x:row>
    <x:row r="78" ht="24" customHeight="1">
      <x:c r="A78" s="1"/>
      <x:c r="B78" s="2"/>
      <x:c r="C78" s="2"/>
      <x:c r="D78" s="2"/>
      <x:c r="E78" s="2"/>
      <x:c r="F78" s="2"/>
      <x:c r="G78" s="1"/>
    </x:row>
    <x:row r="79" ht="24" customHeight="1">
      <x:c r="A79" s="1"/>
      <x:c r="B79" s="2"/>
      <x:c r="C79" s="2"/>
      <x:c r="D79" s="2"/>
      <x:c r="E79" s="2"/>
      <x:c r="F79" s="2"/>
      <x:c r="G79" s="1"/>
    </x:row>
    <x:row r="80" ht="24" customHeight="1">
      <x:c r="A80" s="1"/>
      <x:c r="B80" s="2"/>
      <x:c r="C80" s="2"/>
      <x:c r="D80" s="2"/>
      <x:c r="E80" s="2"/>
      <x:c r="F80" s="2"/>
      <x:c r="G80" s="1"/>
    </x:row>
    <x:row r="81" ht="24" customHeight="1">
      <x:c r="A81" s="1"/>
      <x:c r="B81" s="2"/>
      <x:c r="C81" s="2"/>
      <x:c r="D81" s="2"/>
      <x:c r="E81" s="2"/>
      <x:c r="F81" s="2"/>
      <x:c r="G81" s="1"/>
    </x:row>
    <x:row r="82" ht="24" customHeight="1">
      <x:c r="A82" s="1"/>
      <x:c r="B82" s="2"/>
      <x:c r="C82" s="2"/>
      <x:c r="D82" s="2"/>
      <x:c r="E82" s="2"/>
      <x:c r="F82" s="2"/>
      <x:c r="G82" s="1"/>
    </x:row>
    <x:row r="83" ht="24" customHeight="1">
      <x:c r="A83" s="1"/>
      <x:c r="B83" s="2"/>
      <x:c r="C83" s="2"/>
      <x:c r="D83" s="2"/>
      <x:c r="E83" s="2"/>
      <x:c r="F83" s="2"/>
      <x:c r="G83" s="1"/>
    </x:row>
    <x:row r="84" ht="24" customHeight="1">
      <x:c r="A84" s="1"/>
      <x:c r="B84" s="2"/>
      <x:c r="C84" s="2"/>
      <x:c r="D84" s="2"/>
      <x:c r="E84" s="2"/>
      <x:c r="F84" s="2"/>
      <x:c r="G84" s="1"/>
    </x:row>
    <x:row r="85" ht="24" customHeight="1">
      <x:c r="A85" s="1"/>
      <x:c r="B85" s="2"/>
      <x:c r="C85" s="2"/>
      <x:c r="D85" s="2"/>
      <x:c r="E85" s="2"/>
      <x:c r="F85" s="2"/>
      <x:c r="G85" s="1"/>
    </x:row>
  </x:sheetData>
  <x:dataValidations count="2">
    <x:dataValidation type="decimal" operator="between" sqref="C7">
      <x:formula1>0</x:formula1>
      <x:formula2>1</x:formula2>
    </x:dataValidation>
    <x:dataValidation type="decimal" operator="between" sqref="C19:C20">
      <x:formula1>0</x:formula1>
      <x:formula2>1</x:formula2>
    </x:dataValidation>
  </x:dataValidations>
  <x:pageMargins left="0.7" right="0.7" top="0.75" bottom="0.75" header="0.3" footer="0.3"/>
</x:worksheet>
</file>